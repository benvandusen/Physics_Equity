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bvandusen/Physics_Equity/"/>
    </mc:Choice>
  </mc:AlternateContent>
  <xr:revisionPtr revIDLastSave="0" documentId="13_ncr:1_{1C697331-BA76-774E-B5EB-CA0C86DB989D}" xr6:coauthVersionLast="40" xr6:coauthVersionMax="40" xr10:uidLastSave="{00000000-0000-0000-0000-000000000000}"/>
  <bookViews>
    <workbookView xWindow="26820" yWindow="8960" windowWidth="17060" windowHeight="12780" tabRatio="500" xr2:uid="{00000000-000D-0000-FFFF-FFFF00000000}"/>
  </bookViews>
  <sheets>
    <sheet name="variance" sheetId="1" r:id="rId1"/>
    <sheet name="model" sheetId="2" r:id="rId2"/>
  </sheets>
  <definedNames>
    <definedName name="_xlnm._FilterDatabase" localSheetId="0" hidden="1">variance!$A$2:$G$9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" i="1" l="1"/>
  <c r="E10" i="1"/>
  <c r="E15" i="1" l="1"/>
  <c r="G15" i="1"/>
  <c r="G12" i="1"/>
  <c r="G13" i="1"/>
  <c r="G14" i="1"/>
  <c r="G16" i="1"/>
  <c r="E12" i="1"/>
  <c r="E13" i="1"/>
  <c r="E14" i="1"/>
  <c r="E16" i="1"/>
  <c r="G6" i="1"/>
  <c r="G7" i="1"/>
  <c r="G8" i="1"/>
  <c r="G9" i="1"/>
  <c r="G11" i="1"/>
  <c r="E6" i="1"/>
  <c r="E7" i="1"/>
  <c r="E8" i="1"/>
  <c r="E9" i="1"/>
  <c r="E11" i="1"/>
  <c r="E5" i="1"/>
  <c r="G5" i="1"/>
</calcChain>
</file>

<file path=xl/sharedStrings.xml><?xml version="1.0" encoding="utf-8"?>
<sst xmlns="http://schemas.openxmlformats.org/spreadsheetml/2006/main" count="45" uniqueCount="31">
  <si>
    <t>Model</t>
  </si>
  <si>
    <t>variance</t>
  </si>
  <si>
    <t>% explained</t>
  </si>
  <si>
    <t>Level-1</t>
  </si>
  <si>
    <t>Level-2</t>
  </si>
  <si>
    <t>Variable changes</t>
  </si>
  <si>
    <t>-</t>
  </si>
  <si>
    <t>level</t>
  </si>
  <si>
    <t>stud_pre_cent</t>
  </si>
  <si>
    <t>retake</t>
  </si>
  <si>
    <t>pre_mean_clas</t>
  </si>
  <si>
    <t>FMCE
-pre_mean_class</t>
  </si>
  <si>
    <t>gend_URM</t>
  </si>
  <si>
    <t>asian_no_int 
+ black_no_int 
+ hispanic_no_int 
+ race_other_no_int</t>
  </si>
  <si>
    <t>lec</t>
  </si>
  <si>
    <t>gend_URM*racestuff</t>
  </si>
  <si>
    <t>random slopes</t>
  </si>
  <si>
    <t>gend_URM*lec
-gend_URM*racestuff</t>
  </si>
  <si>
    <t>race*lec
-gend*lec</t>
  </si>
  <si>
    <t>Estimate</t>
  </si>
  <si>
    <t>Std.Error</t>
  </si>
  <si>
    <t>P</t>
  </si>
  <si>
    <t>Intercept</t>
  </si>
  <si>
    <t>gend_URM1</t>
  </si>
  <si>
    <t>asian_no_int1</t>
  </si>
  <si>
    <t>black_no_int1</t>
  </si>
  <si>
    <t>hispanic_no_int1</t>
  </si>
  <si>
    <t>race_other_no_int1</t>
  </si>
  <si>
    <t>&lt;0.001</t>
  </si>
  <si>
    <t>&lt;0.05</t>
  </si>
  <si>
    <t>race_urm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</si>
</sst>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6"/>
  <sheetViews>
    <sheetView tabSelected="1" workbookViewId="0">
      <selection activeCell="I14" sqref="I14"/>
    </sheetView>
  </sheetViews>
  <sheetFormatPr baseColWidth="10" defaultRowHeight="16" x14ac:dyDescent="0.2"/>
  <cols>
    <col min="3" max="3" width="20.1640625" style="1" customWidth="1"/>
    <col min="4" max="7" width="10.83203125" customWidth="1"/>
  </cols>
  <sheetData>
    <row r="2" spans="1:7" x14ac:dyDescent="0.2">
      <c r="A2" t="s">
        <v>0</v>
      </c>
      <c r="B2" t="s">
        <v>7</v>
      </c>
      <c r="C2" s="2" t="s">
        <v>5</v>
      </c>
      <c r="D2" s="12" t="s">
        <v>3</v>
      </c>
      <c r="E2" s="12"/>
      <c r="F2" s="12" t="s">
        <v>4</v>
      </c>
      <c r="G2" s="12"/>
    </row>
    <row r="3" spans="1:7" x14ac:dyDescent="0.2">
      <c r="C3" s="2"/>
      <c r="D3" s="1" t="s">
        <v>1</v>
      </c>
      <c r="E3" s="1" t="s">
        <v>2</v>
      </c>
      <c r="F3" s="1" t="s">
        <v>1</v>
      </c>
      <c r="G3" s="1" t="s">
        <v>2</v>
      </c>
    </row>
    <row r="4" spans="1:7" x14ac:dyDescent="0.2">
      <c r="A4">
        <v>1</v>
      </c>
      <c r="C4" s="2" t="s">
        <v>6</v>
      </c>
      <c r="D4" s="5">
        <v>326.27699999999999</v>
      </c>
      <c r="E4" s="7" t="s">
        <v>6</v>
      </c>
      <c r="F4" s="5">
        <v>59.892000000000003</v>
      </c>
      <c r="G4" s="7" t="s">
        <v>6</v>
      </c>
    </row>
    <row r="5" spans="1:7" ht="17" x14ac:dyDescent="0.2">
      <c r="A5">
        <v>2</v>
      </c>
      <c r="C5" s="3" t="s">
        <v>8</v>
      </c>
      <c r="D5" s="5">
        <v>295.85899999999998</v>
      </c>
      <c r="E5" s="6">
        <f>1-(D5/D$4)</f>
        <v>9.3227533660049655E-2</v>
      </c>
      <c r="F5" s="5">
        <v>60.707999999999998</v>
      </c>
      <c r="G5" s="6">
        <f>1-(F5/F$4)</f>
        <v>-1.362452414345805E-2</v>
      </c>
    </row>
    <row r="6" spans="1:7" x14ac:dyDescent="0.2">
      <c r="A6">
        <v>3</v>
      </c>
      <c r="C6" s="2" t="s">
        <v>9</v>
      </c>
      <c r="D6" s="5">
        <v>294.33199999999999</v>
      </c>
      <c r="E6" s="6">
        <f t="shared" ref="E6:E16" si="0">1-(D6/D$4)</f>
        <v>9.7907606113823542E-2</v>
      </c>
      <c r="F6" s="5">
        <v>57.595999999999997</v>
      </c>
      <c r="G6" s="6">
        <f t="shared" ref="E6:G16" si="1">1-(F6/F$4)</f>
        <v>3.8335670874240391E-2</v>
      </c>
    </row>
    <row r="7" spans="1:7" x14ac:dyDescent="0.2">
      <c r="A7">
        <v>4</v>
      </c>
      <c r="C7" s="4" t="s">
        <v>10</v>
      </c>
      <c r="D7" s="5">
        <v>294.334</v>
      </c>
      <c r="E7" s="6">
        <f t="shared" si="0"/>
        <v>9.7901476352914796E-2</v>
      </c>
      <c r="F7" s="5">
        <v>57.816000000000003</v>
      </c>
      <c r="G7" s="6">
        <f t="shared" si="1"/>
        <v>3.4662392306151091E-2</v>
      </c>
    </row>
    <row r="8" spans="1:7" ht="34" x14ac:dyDescent="0.2">
      <c r="A8">
        <v>5</v>
      </c>
      <c r="C8" s="3" t="s">
        <v>11</v>
      </c>
      <c r="D8" s="5">
        <v>294.33199999999999</v>
      </c>
      <c r="E8" s="6">
        <f t="shared" si="0"/>
        <v>9.7907606113823542E-2</v>
      </c>
      <c r="F8" s="5">
        <v>57.930999999999997</v>
      </c>
      <c r="G8" s="6">
        <f t="shared" si="1"/>
        <v>3.2742269418286396E-2</v>
      </c>
    </row>
    <row r="9" spans="1:7" ht="17" x14ac:dyDescent="0.2">
      <c r="A9">
        <v>6</v>
      </c>
      <c r="C9" s="3" t="s">
        <v>12</v>
      </c>
      <c r="D9" s="5">
        <v>293.59899999999999</v>
      </c>
      <c r="E9" s="6">
        <f t="shared" si="0"/>
        <v>0.10015416348685324</v>
      </c>
      <c r="F9" s="5">
        <v>57.097000000000001</v>
      </c>
      <c r="G9" s="6">
        <f t="shared" si="1"/>
        <v>4.6667334535497207E-2</v>
      </c>
    </row>
    <row r="10" spans="1:7" ht="17" x14ac:dyDescent="0.2">
      <c r="A10">
        <v>6.1</v>
      </c>
      <c r="C10" s="3" t="s">
        <v>30</v>
      </c>
      <c r="D10" s="13">
        <v>289.33300000000003</v>
      </c>
      <c r="E10" s="6">
        <f t="shared" si="0"/>
        <v>0.11322894350505852</v>
      </c>
      <c r="F10" s="13">
        <v>55.93</v>
      </c>
      <c r="G10" s="6">
        <f t="shared" si="1"/>
        <v>6.6152407667134261E-2</v>
      </c>
    </row>
    <row r="11" spans="1:7" ht="68" x14ac:dyDescent="0.2">
      <c r="A11">
        <v>7</v>
      </c>
      <c r="C11" s="8" t="s">
        <v>13</v>
      </c>
      <c r="D11">
        <v>287.97800000000001</v>
      </c>
      <c r="E11" s="6">
        <f t="shared" si="0"/>
        <v>0.11738185652068633</v>
      </c>
      <c r="F11">
        <v>55.854999999999997</v>
      </c>
      <c r="G11" s="6">
        <f t="shared" si="1"/>
        <v>6.7404661724437376E-2</v>
      </c>
    </row>
    <row r="12" spans="1:7" s="10" customFormat="1" x14ac:dyDescent="0.2">
      <c r="A12" s="10">
        <v>8</v>
      </c>
      <c r="C12" s="9" t="s">
        <v>14</v>
      </c>
      <c r="D12" s="10">
        <v>287.97699999999998</v>
      </c>
      <c r="E12" s="11">
        <f t="shared" si="0"/>
        <v>0.11738492140114076</v>
      </c>
      <c r="F12" s="10">
        <v>54.356999999999999</v>
      </c>
      <c r="G12" s="11">
        <f t="shared" si="1"/>
        <v>9.2416349428972255E-2</v>
      </c>
    </row>
    <row r="13" spans="1:7" x14ac:dyDescent="0.2">
      <c r="A13">
        <v>9</v>
      </c>
      <c r="C13" s="1" t="s">
        <v>15</v>
      </c>
      <c r="D13">
        <v>287.86599999999999</v>
      </c>
      <c r="E13" s="6">
        <f t="shared" si="0"/>
        <v>0.11772512313157224</v>
      </c>
      <c r="F13">
        <v>54.418999999999997</v>
      </c>
      <c r="G13" s="6">
        <f t="shared" si="1"/>
        <v>9.1381152741601634E-2</v>
      </c>
    </row>
    <row r="14" spans="1:7" ht="34" x14ac:dyDescent="0.2">
      <c r="A14">
        <v>10</v>
      </c>
      <c r="C14" s="8" t="s">
        <v>17</v>
      </c>
      <c r="D14">
        <v>287.98599999999999</v>
      </c>
      <c r="E14" s="6">
        <f t="shared" si="0"/>
        <v>0.11735733747705168</v>
      </c>
      <c r="F14">
        <v>54.415999999999997</v>
      </c>
      <c r="G14" s="6">
        <f t="shared" si="1"/>
        <v>9.1431242903893817E-2</v>
      </c>
    </row>
    <row r="15" spans="1:7" ht="34" x14ac:dyDescent="0.2">
      <c r="A15">
        <v>11</v>
      </c>
      <c r="C15" s="8" t="s">
        <v>18</v>
      </c>
      <c r="D15">
        <v>287.916</v>
      </c>
      <c r="E15" s="6">
        <f t="shared" si="1"/>
        <v>0.11757187910885536</v>
      </c>
      <c r="F15">
        <v>54.341000000000001</v>
      </c>
      <c r="G15" s="6">
        <f t="shared" si="1"/>
        <v>9.2683496961196821E-2</v>
      </c>
    </row>
    <row r="16" spans="1:7" x14ac:dyDescent="0.2">
      <c r="A16">
        <v>12</v>
      </c>
      <c r="C16" s="1" t="s">
        <v>16</v>
      </c>
      <c r="D16">
        <v>278.101</v>
      </c>
      <c r="E16" s="6">
        <f t="shared" si="0"/>
        <v>0.14765368076818164</v>
      </c>
      <c r="F16">
        <v>58.433</v>
      </c>
      <c r="G16" s="6">
        <f t="shared" si="1"/>
        <v>2.4360515594737286E-2</v>
      </c>
    </row>
  </sheetData>
  <autoFilter ref="A2:G9" xr:uid="{00000000-0009-0000-0000-000000000000}">
    <filterColumn colId="3" showButton="0"/>
    <filterColumn colId="5" showButton="0"/>
  </autoFilter>
  <mergeCells count="2">
    <mergeCell ref="D2:E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7CEE-2834-6541-847D-722FEC340C51}">
  <dimension ref="A1:D10"/>
  <sheetViews>
    <sheetView workbookViewId="0">
      <selection activeCell="G12" sqref="G12"/>
    </sheetView>
  </sheetViews>
  <sheetFormatPr baseColWidth="10" defaultRowHeight="16" x14ac:dyDescent="0.2"/>
  <sheetData>
    <row r="1" spans="1:4" x14ac:dyDescent="0.2">
      <c r="B1" t="s">
        <v>19</v>
      </c>
      <c r="C1" t="s">
        <v>20</v>
      </c>
      <c r="D1" t="s">
        <v>21</v>
      </c>
    </row>
    <row r="2" spans="1:4" x14ac:dyDescent="0.2">
      <c r="A2" t="s">
        <v>22</v>
      </c>
      <c r="B2">
        <v>19.849</v>
      </c>
      <c r="C2">
        <v>0.89300000000000002</v>
      </c>
      <c r="D2" t="s">
        <v>28</v>
      </c>
    </row>
    <row r="3" spans="1:4" x14ac:dyDescent="0.2">
      <c r="A3" t="s">
        <v>8</v>
      </c>
      <c r="B3">
        <v>-0.33600000000000002</v>
      </c>
      <c r="C3">
        <v>0.01</v>
      </c>
      <c r="D3" t="s">
        <v>28</v>
      </c>
    </row>
    <row r="4" spans="1:4" x14ac:dyDescent="0.2">
      <c r="A4" t="s">
        <v>9</v>
      </c>
      <c r="B4">
        <v>-4.1449999999999996</v>
      </c>
      <c r="C4">
        <v>0.57899999999999996</v>
      </c>
      <c r="D4" t="s">
        <v>28</v>
      </c>
    </row>
    <row r="5" spans="1:4" x14ac:dyDescent="0.2">
      <c r="A5" t="s">
        <v>23</v>
      </c>
      <c r="B5">
        <v>-2.0070000000000001</v>
      </c>
      <c r="C5">
        <v>0.39600000000000002</v>
      </c>
      <c r="D5" t="s">
        <v>28</v>
      </c>
    </row>
    <row r="6" spans="1:4" x14ac:dyDescent="0.2">
      <c r="A6" t="s">
        <v>24</v>
      </c>
      <c r="B6">
        <v>-2.9279999999999999</v>
      </c>
      <c r="C6">
        <v>0.71799999999999997</v>
      </c>
      <c r="D6" t="s">
        <v>28</v>
      </c>
    </row>
    <row r="7" spans="1:4" x14ac:dyDescent="0.2">
      <c r="A7" t="s">
        <v>25</v>
      </c>
      <c r="B7">
        <v>-9.2919999999999998</v>
      </c>
      <c r="C7">
        <v>1.089</v>
      </c>
      <c r="D7" t="s">
        <v>28</v>
      </c>
    </row>
    <row r="8" spans="1:4" x14ac:dyDescent="0.2">
      <c r="A8" t="s">
        <v>26</v>
      </c>
      <c r="B8">
        <v>-6.0739999999999998</v>
      </c>
      <c r="C8">
        <v>0.52200000000000002</v>
      </c>
      <c r="D8" t="s">
        <v>28</v>
      </c>
    </row>
    <row r="9" spans="1:4" x14ac:dyDescent="0.2">
      <c r="A9" t="s">
        <v>27</v>
      </c>
      <c r="B9">
        <v>-3.24</v>
      </c>
      <c r="C9">
        <v>0.94599999999999995</v>
      </c>
      <c r="D9" t="s">
        <v>28</v>
      </c>
    </row>
    <row r="10" spans="1:4" x14ac:dyDescent="0.2">
      <c r="A10" t="s">
        <v>14</v>
      </c>
      <c r="B10">
        <v>-3.093</v>
      </c>
      <c r="C10">
        <v>1.385</v>
      </c>
      <c r="D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variance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2018-09-21T15:40:38Z</dcterms:created>
  <dcterms:modified xsi:type="dcterms:W3CDTF">2019-01-14T17:19:51Z</dcterms:modified>
</cp:coreProperties>
</file>